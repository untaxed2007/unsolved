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Summary" sheetId="2" state="visible" r:id="rId4"/>
  </sheets>
  <definedNames>
    <definedName function="false" hidden="true" localSheetId="0" name="_xlnm._FilterDatabase" vbProcedure="false">Tracker!$A$1:$M$41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<sst xmlns="http://schemas.openxmlformats.org/spreadsheetml/2006/main" count="232" uniqueCount="74">
  <si>
    <t xml:space="preserve">S.No</t>
  </si>
  <si>
    <t xml:space="preserve">LC #</t>
  </si>
  <si>
    <t xml:space="preserve">Problem</t>
  </si>
  <si>
    <t xml:space="preserve">Topic</t>
  </si>
  <si>
    <t xml:space="preserve">Difficulty</t>
  </si>
  <si>
    <t xml:space="preserve">Status</t>
  </si>
  <si>
    <t xml:space="preserve">Date Solved</t>
  </si>
  <si>
    <t xml:space="preserve">Time (min)</t>
  </si>
  <si>
    <t xml:space="preserve">Attempts</t>
  </si>
  <si>
    <t xml:space="preserve">Needed Help?</t>
  </si>
  <si>
    <t xml:space="preserve">Revisit?</t>
  </si>
  <si>
    <t xml:space="preserve">Notes</t>
  </si>
  <si>
    <t xml:space="preserve">Link</t>
  </si>
  <si>
    <t xml:space="preserve">Greatest Sum Divisible by Three</t>
  </si>
  <si>
    <t xml:space="preserve">DP</t>
  </si>
  <si>
    <t xml:space="preserve">Medium</t>
  </si>
  <si>
    <t xml:space="preserve">Not Started</t>
  </si>
  <si>
    <t xml:space="preserve">Open</t>
  </si>
  <si>
    <t xml:space="preserve">Maximum Subarray Sum with One Deletion</t>
  </si>
  <si>
    <t xml:space="preserve">Partition Array for Maximum Sum</t>
  </si>
  <si>
    <t xml:space="preserve">Filling Bookcase Shelves</t>
  </si>
  <si>
    <t xml:space="preserve">New 21 Game</t>
  </si>
  <si>
    <t xml:space="preserve">Domino and Tromino Tiling</t>
  </si>
  <si>
    <t xml:space="preserve">Solving Questions With Brainpower</t>
  </si>
  <si>
    <t xml:space="preserve">Maximum Number of Points with Cost</t>
  </si>
  <si>
    <t xml:space="preserve">Number of People Aware of a Secret</t>
  </si>
  <si>
    <t xml:space="preserve">Count Number of Texts</t>
  </si>
  <si>
    <t xml:space="preserve">Knight Dialer</t>
  </si>
  <si>
    <t xml:space="preserve">Minimum Score Triangulation of Polygon</t>
  </si>
  <si>
    <t xml:space="preserve">Minimum Cost Tree From Leaf Values</t>
  </si>
  <si>
    <t xml:space="preserve">Stone Game VII</t>
  </si>
  <si>
    <t xml:space="preserve">Minimum Number of Days to Eat N Oranges</t>
  </si>
  <si>
    <t xml:space="preserve">Hard</t>
  </si>
  <si>
    <t xml:space="preserve">Odd Even Jump</t>
  </si>
  <si>
    <t xml:space="preserve">Number of Ways to Paint N × 3 Grid</t>
  </si>
  <si>
    <t xml:space="preserve">Minimum Swaps To Make Sequences Increasing</t>
  </si>
  <si>
    <t xml:space="preserve">Minimum Cost to Cut a Stick</t>
  </si>
  <si>
    <t xml:space="preserve">Maximum Profit in Job Scheduling</t>
  </si>
  <si>
    <t xml:space="preserve">Most Stones Removed with Same Row or Column</t>
  </si>
  <si>
    <t xml:space="preserve">Graphs</t>
  </si>
  <si>
    <t xml:space="preserve">Minimum Height Trees</t>
  </si>
  <si>
    <t xml:space="preserve">Shortest Path with Alternating Colors</t>
  </si>
  <si>
    <t xml:space="preserve">Open the Lock</t>
  </si>
  <si>
    <t xml:space="preserve">Snakes and Ladders</t>
  </si>
  <si>
    <t xml:space="preserve">Minimum Jumps to Reach Home</t>
  </si>
  <si>
    <t xml:space="preserve">Find Closest Node to Given Two Nodes</t>
  </si>
  <si>
    <t xml:space="preserve">Find All Possible Recipes from Given Supplies</t>
  </si>
  <si>
    <t xml:space="preserve">All Ancestors of a Node in a Directed Acyclic Graph</t>
  </si>
  <si>
    <t xml:space="preserve">All Nodes Distance K in Binary Tree</t>
  </si>
  <si>
    <t xml:space="preserve">Detonate the Maximum Bombs</t>
  </si>
  <si>
    <t xml:space="preserve">Most Profitable Path in a Tree</t>
  </si>
  <si>
    <t xml:space="preserve">Count Nodes With the Highest Score</t>
  </si>
  <si>
    <t xml:space="preserve">Minimum Cost to Make at Least One Valid Path in a Grid</t>
  </si>
  <si>
    <t xml:space="preserve">Shortest Path to Get All Keys</t>
  </si>
  <si>
    <t xml:space="preserve">Find All People With Secret</t>
  </si>
  <si>
    <t xml:space="preserve">Critical Connections in a Network</t>
  </si>
  <si>
    <t xml:space="preserve">Longest Cycle in a Graph</t>
  </si>
  <si>
    <t xml:space="preserve">Largest Color Value in a Directed Graph</t>
  </si>
  <si>
    <t xml:space="preserve">Parallel Courses III</t>
  </si>
  <si>
    <t xml:space="preserve">Microsoft OA Practice – Progress</t>
  </si>
  <si>
    <t xml:space="preserve">Category</t>
  </si>
  <si>
    <t xml:space="preserve">Total</t>
  </si>
  <si>
    <t xml:space="preserve">Solved</t>
  </si>
  <si>
    <t xml:space="preserve">In Progress</t>
  </si>
  <si>
    <t xml:space="preserve">Revisit</t>
  </si>
  <si>
    <t xml:space="preserve">Completion %</t>
  </si>
  <si>
    <t xml:space="preserve">Avg Time (min)</t>
  </si>
  <si>
    <t xml:space="preserve">Overall</t>
  </si>
  <si>
    <t xml:space="preserve">How to use</t>
  </si>
  <si>
    <t xml:space="preserve">• Fill only the cream-shaded columns on the Tracker sheet (Status to Notes). Everything on this sheet updates automatically.</t>
  </si>
  <si>
    <t xml:space="preserve">• Example: Status = Solved, Date Solved = 21-Oct-2026, Time = 25, Attempts = 2, Needed Help? = No, Revisit? = Yes.</t>
  </si>
  <si>
    <t xml:space="preserve">• Target: ~25 min per medium. Mark anything over 40 min or needing help as Revisit and redo it after a week.</t>
  </si>
  <si>
    <t xml:space="preserve">• Avg Time counts only rows marked Solved. The 'Open' link searches LeetCode for that problem number.</t>
  </si>
  <si>
    <t xml:space="preserve">• Difficulty is LeetCode's official label. Hard rows are stretch problems; do them after the mediums.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</si>
</sst>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General"/>
    <numFmt numFmtId="167" formatCode="0%"/>
    <numFmt numFmtId="168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9E5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9E5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8CBAD"/>
        </patternFill>
      </fill>
    </dxf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9E5"/>
      <rgbColor rgb="FFCCFFFF"/>
      <rgbColor rgb="FF660066"/>
      <rgbColor rgb="FFFF8080"/>
      <rgbColor rgb="FF0563C1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eetcode.com/problemset/?search=1262" TargetMode="External"/><Relationship Id="rId2" Type="http://schemas.openxmlformats.org/officeDocument/2006/relationships/hyperlink" Target="https://leetcode.com/problemset/?search=1186" TargetMode="External"/><Relationship Id="rId3" Type="http://schemas.openxmlformats.org/officeDocument/2006/relationships/hyperlink" Target="https://leetcode.com/problemset/?search=1043" TargetMode="External"/><Relationship Id="rId4" Type="http://schemas.openxmlformats.org/officeDocument/2006/relationships/hyperlink" Target="https://leetcode.com/problemset/?search=1105" TargetMode="External"/><Relationship Id="rId5" Type="http://schemas.openxmlformats.org/officeDocument/2006/relationships/hyperlink" Target="https://leetcode.com/problemset/?search=837" TargetMode="External"/><Relationship Id="rId6" Type="http://schemas.openxmlformats.org/officeDocument/2006/relationships/hyperlink" Target="https://leetcode.com/problemset/?search=790" TargetMode="External"/><Relationship Id="rId7" Type="http://schemas.openxmlformats.org/officeDocument/2006/relationships/hyperlink" Target="https://leetcode.com/problemset/?search=2140" TargetMode="External"/><Relationship Id="rId8" Type="http://schemas.openxmlformats.org/officeDocument/2006/relationships/hyperlink" Target="https://leetcode.com/problemset/?search=1937" TargetMode="External"/><Relationship Id="rId9" Type="http://schemas.openxmlformats.org/officeDocument/2006/relationships/hyperlink" Target="https://leetcode.com/problemset/?search=2327" TargetMode="External"/><Relationship Id="rId10" Type="http://schemas.openxmlformats.org/officeDocument/2006/relationships/hyperlink" Target="https://leetcode.com/problemset/?search=2266" TargetMode="External"/><Relationship Id="rId11" Type="http://schemas.openxmlformats.org/officeDocument/2006/relationships/hyperlink" Target="https://leetcode.com/problemset/?search=935" TargetMode="External"/><Relationship Id="rId12" Type="http://schemas.openxmlformats.org/officeDocument/2006/relationships/hyperlink" Target="https://leetcode.com/problemset/?search=1039" TargetMode="External"/><Relationship Id="rId13" Type="http://schemas.openxmlformats.org/officeDocument/2006/relationships/hyperlink" Target="https://leetcode.com/problemset/?search=1130" TargetMode="External"/><Relationship Id="rId14" Type="http://schemas.openxmlformats.org/officeDocument/2006/relationships/hyperlink" Target="https://leetcode.com/problemset/?search=1690" TargetMode="External"/><Relationship Id="rId15" Type="http://schemas.openxmlformats.org/officeDocument/2006/relationships/hyperlink" Target="https://leetcode.com/problemset/?search=1553" TargetMode="External"/><Relationship Id="rId16" Type="http://schemas.openxmlformats.org/officeDocument/2006/relationships/hyperlink" Target="https://leetcode.com/problemset/?search=975" TargetMode="External"/><Relationship Id="rId17" Type="http://schemas.openxmlformats.org/officeDocument/2006/relationships/hyperlink" Target="https://leetcode.com/problemset/?search=1411" TargetMode="External"/><Relationship Id="rId18" Type="http://schemas.openxmlformats.org/officeDocument/2006/relationships/hyperlink" Target="https://leetcode.com/problemset/?search=801" TargetMode="External"/><Relationship Id="rId19" Type="http://schemas.openxmlformats.org/officeDocument/2006/relationships/hyperlink" Target="https://leetcode.com/problemset/?search=1547" TargetMode="External"/><Relationship Id="rId20" Type="http://schemas.openxmlformats.org/officeDocument/2006/relationships/hyperlink" Target="https://leetcode.com/problemset/?search=1235" TargetMode="External"/><Relationship Id="rId21" Type="http://schemas.openxmlformats.org/officeDocument/2006/relationships/hyperlink" Target="https://leetcode.com/problemset/?search=947" TargetMode="External"/><Relationship Id="rId22" Type="http://schemas.openxmlformats.org/officeDocument/2006/relationships/hyperlink" Target="https://leetcode.com/problemset/?search=310" TargetMode="External"/><Relationship Id="rId23" Type="http://schemas.openxmlformats.org/officeDocument/2006/relationships/hyperlink" Target="https://leetcode.com/problemset/?search=1129" TargetMode="External"/><Relationship Id="rId24" Type="http://schemas.openxmlformats.org/officeDocument/2006/relationships/hyperlink" Target="https://leetcode.com/problemset/?search=752" TargetMode="External"/><Relationship Id="rId25" Type="http://schemas.openxmlformats.org/officeDocument/2006/relationships/hyperlink" Target="https://leetcode.com/problemset/?search=909" TargetMode="External"/><Relationship Id="rId26" Type="http://schemas.openxmlformats.org/officeDocument/2006/relationships/hyperlink" Target="https://leetcode.com/problemset/?search=1654" TargetMode="External"/><Relationship Id="rId27" Type="http://schemas.openxmlformats.org/officeDocument/2006/relationships/hyperlink" Target="https://leetcode.com/problemset/?search=2359" TargetMode="External"/><Relationship Id="rId28" Type="http://schemas.openxmlformats.org/officeDocument/2006/relationships/hyperlink" Target="https://leetcode.com/problemset/?search=2115" TargetMode="External"/><Relationship Id="rId29" Type="http://schemas.openxmlformats.org/officeDocument/2006/relationships/hyperlink" Target="https://leetcode.com/problemset/?search=2192" TargetMode="External"/><Relationship Id="rId30" Type="http://schemas.openxmlformats.org/officeDocument/2006/relationships/hyperlink" Target="https://leetcode.com/problemset/?search=863" TargetMode="External"/><Relationship Id="rId31" Type="http://schemas.openxmlformats.org/officeDocument/2006/relationships/hyperlink" Target="https://leetcode.com/problemset/?search=2101" TargetMode="External"/><Relationship Id="rId32" Type="http://schemas.openxmlformats.org/officeDocument/2006/relationships/hyperlink" Target="https://leetcode.com/problemset/?search=2467" TargetMode="External"/><Relationship Id="rId33" Type="http://schemas.openxmlformats.org/officeDocument/2006/relationships/hyperlink" Target="https://leetcode.com/problemset/?search=2049" TargetMode="External"/><Relationship Id="rId34" Type="http://schemas.openxmlformats.org/officeDocument/2006/relationships/hyperlink" Target="https://leetcode.com/problemset/?search=1368" TargetMode="External"/><Relationship Id="rId35" Type="http://schemas.openxmlformats.org/officeDocument/2006/relationships/hyperlink" Target="https://leetcode.com/problemset/?search=864" TargetMode="External"/><Relationship Id="rId36" Type="http://schemas.openxmlformats.org/officeDocument/2006/relationships/hyperlink" Target="https://leetcode.com/problemset/?search=2092" TargetMode="External"/><Relationship Id="rId37" Type="http://schemas.openxmlformats.org/officeDocument/2006/relationships/hyperlink" Target="https://leetcode.com/problemset/?search=1192" TargetMode="External"/><Relationship Id="rId38" Type="http://schemas.openxmlformats.org/officeDocument/2006/relationships/hyperlink" Target="https://leetcode.com/problemset/?search=2360" TargetMode="External"/><Relationship Id="rId39" Type="http://schemas.openxmlformats.org/officeDocument/2006/relationships/hyperlink" Target="https://leetcode.com/problemset/?search=1857" TargetMode="External"/><Relationship Id="rId40" Type="http://schemas.openxmlformats.org/officeDocument/2006/relationships/hyperlink" Target="https://leetcode.com/problemset/?search=2050" TargetMode="External"/><Relationship Id="rId4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7"/>
    <col collapsed="false" customWidth="true" hidden="false" outlineLevel="0" max="3" min="3" style="0" width="52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7" min="6" style="0" width="14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0"/>
    <col collapsed="false" customWidth="true" hidden="false" outlineLevel="0" max="12" min="12" style="0" width="40"/>
    <col collapsed="false" customWidth="true" hidden="false" outlineLevel="0" max="13" min="13" style="0" width="8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1</v>
      </c>
      <c r="B2" s="2" t="n">
        <v>1262</v>
      </c>
      <c r="C2" s="3" t="s">
        <v>13</v>
      </c>
      <c r="D2" s="2" t="s">
        <v>14</v>
      </c>
      <c r="E2" s="2" t="s">
        <v>15</v>
      </c>
      <c r="F2" s="4" t="s">
        <v>16</v>
      </c>
      <c r="G2" s="5"/>
      <c r="H2" s="4"/>
      <c r="I2" s="4"/>
      <c r="J2" s="4"/>
      <c r="K2" s="4"/>
      <c r="L2" s="6"/>
      <c r="M2" s="7" t="s">
        <v>17</v>
      </c>
    </row>
    <row r="3" customFormat="false" ht="15" hidden="false" customHeight="false" outlineLevel="0" collapsed="false">
      <c r="A3" s="2" t="n">
        <v>2</v>
      </c>
      <c r="B3" s="2" t="n">
        <v>1186</v>
      </c>
      <c r="C3" s="3" t="s">
        <v>18</v>
      </c>
      <c r="D3" s="2" t="s">
        <v>14</v>
      </c>
      <c r="E3" s="2" t="s">
        <v>15</v>
      </c>
      <c r="F3" s="4" t="s">
        <v>16</v>
      </c>
      <c r="G3" s="5"/>
      <c r="H3" s="4"/>
      <c r="I3" s="4"/>
      <c r="J3" s="4"/>
      <c r="K3" s="4"/>
      <c r="L3" s="6"/>
      <c r="M3" s="7" t="s">
        <v>17</v>
      </c>
    </row>
    <row r="4" customFormat="false" ht="15" hidden="false" customHeight="false" outlineLevel="0" collapsed="false">
      <c r="A4" s="2" t="n">
        <v>3</v>
      </c>
      <c r="B4" s="2" t="n">
        <v>1043</v>
      </c>
      <c r="C4" s="3" t="s">
        <v>19</v>
      </c>
      <c r="D4" s="2" t="s">
        <v>14</v>
      </c>
      <c r="E4" s="2" t="s">
        <v>15</v>
      </c>
      <c r="F4" s="4" t="s">
        <v>16</v>
      </c>
      <c r="G4" s="5"/>
      <c r="H4" s="4"/>
      <c r="I4" s="4"/>
      <c r="J4" s="4"/>
      <c r="K4" s="4"/>
      <c r="L4" s="6"/>
      <c r="M4" s="7" t="s">
        <v>17</v>
      </c>
    </row>
    <row r="5" customFormat="false" ht="15" hidden="false" customHeight="false" outlineLevel="0" collapsed="false">
      <c r="A5" s="2" t="n">
        <v>4</v>
      </c>
      <c r="B5" s="2" t="n">
        <v>1105</v>
      </c>
      <c r="C5" s="3" t="s">
        <v>20</v>
      </c>
      <c r="D5" s="2" t="s">
        <v>14</v>
      </c>
      <c r="E5" s="2" t="s">
        <v>15</v>
      </c>
      <c r="F5" s="4" t="s">
        <v>16</v>
      </c>
      <c r="G5" s="5"/>
      <c r="H5" s="4"/>
      <c r="I5" s="4"/>
      <c r="J5" s="4"/>
      <c r="K5" s="4"/>
      <c r="L5" s="6"/>
      <c r="M5" s="7" t="s">
        <v>17</v>
      </c>
    </row>
    <row r="6" customFormat="false" ht="15" hidden="false" customHeight="false" outlineLevel="0" collapsed="false">
      <c r="A6" s="2" t="n">
        <v>5</v>
      </c>
      <c r="B6" s="2" t="n">
        <v>837</v>
      </c>
      <c r="C6" s="3" t="s">
        <v>21</v>
      </c>
      <c r="D6" s="2" t="s">
        <v>14</v>
      </c>
      <c r="E6" s="2" t="s">
        <v>15</v>
      </c>
      <c r="F6" s="4" t="s">
        <v>16</v>
      </c>
      <c r="G6" s="5"/>
      <c r="H6" s="4"/>
      <c r="I6" s="4"/>
      <c r="J6" s="4"/>
      <c r="K6" s="4"/>
      <c r="L6" s="6"/>
      <c r="M6" s="7" t="s">
        <v>17</v>
      </c>
    </row>
    <row r="7" customFormat="false" ht="15" hidden="false" customHeight="false" outlineLevel="0" collapsed="false">
      <c r="A7" s="2" t="n">
        <v>6</v>
      </c>
      <c r="B7" s="2" t="n">
        <v>790</v>
      </c>
      <c r="C7" s="3" t="s">
        <v>22</v>
      </c>
      <c r="D7" s="2" t="s">
        <v>14</v>
      </c>
      <c r="E7" s="2" t="s">
        <v>15</v>
      </c>
      <c r="F7" s="4" t="s">
        <v>16</v>
      </c>
      <c r="G7" s="5"/>
      <c r="H7" s="4"/>
      <c r="I7" s="4"/>
      <c r="J7" s="4"/>
      <c r="K7" s="4"/>
      <c r="L7" s="6"/>
      <c r="M7" s="7" t="s">
        <v>17</v>
      </c>
    </row>
    <row r="8" customFormat="false" ht="15" hidden="false" customHeight="false" outlineLevel="0" collapsed="false">
      <c r="A8" s="2" t="n">
        <v>7</v>
      </c>
      <c r="B8" s="2" t="n">
        <v>2140</v>
      </c>
      <c r="C8" s="3" t="s">
        <v>23</v>
      </c>
      <c r="D8" s="2" t="s">
        <v>14</v>
      </c>
      <c r="E8" s="2" t="s">
        <v>15</v>
      </c>
      <c r="F8" s="4" t="s">
        <v>16</v>
      </c>
      <c r="G8" s="5"/>
      <c r="H8" s="4"/>
      <c r="I8" s="4"/>
      <c r="J8" s="4"/>
      <c r="K8" s="4"/>
      <c r="L8" s="6"/>
      <c r="M8" s="7" t="s">
        <v>17</v>
      </c>
    </row>
    <row r="9" customFormat="false" ht="15" hidden="false" customHeight="false" outlineLevel="0" collapsed="false">
      <c r="A9" s="2" t="n">
        <v>8</v>
      </c>
      <c r="B9" s="2" t="n">
        <v>1937</v>
      </c>
      <c r="C9" s="3" t="s">
        <v>24</v>
      </c>
      <c r="D9" s="2" t="s">
        <v>14</v>
      </c>
      <c r="E9" s="2" t="s">
        <v>15</v>
      </c>
      <c r="F9" s="4" t="s">
        <v>16</v>
      </c>
      <c r="G9" s="5"/>
      <c r="H9" s="4"/>
      <c r="I9" s="4"/>
      <c r="J9" s="4"/>
      <c r="K9" s="4"/>
      <c r="L9" s="6"/>
      <c r="M9" s="7" t="s">
        <v>17</v>
      </c>
    </row>
    <row r="10" customFormat="false" ht="15" hidden="false" customHeight="false" outlineLevel="0" collapsed="false">
      <c r="A10" s="2" t="n">
        <v>9</v>
      </c>
      <c r="B10" s="2" t="n">
        <v>2327</v>
      </c>
      <c r="C10" s="3" t="s">
        <v>25</v>
      </c>
      <c r="D10" s="2" t="s">
        <v>14</v>
      </c>
      <c r="E10" s="2" t="s">
        <v>15</v>
      </c>
      <c r="F10" s="4" t="s">
        <v>16</v>
      </c>
      <c r="G10" s="5"/>
      <c r="H10" s="4"/>
      <c r="I10" s="4"/>
      <c r="J10" s="4"/>
      <c r="K10" s="4"/>
      <c r="L10" s="6"/>
      <c r="M10" s="7" t="s">
        <v>17</v>
      </c>
    </row>
    <row r="11" customFormat="false" ht="15" hidden="false" customHeight="false" outlineLevel="0" collapsed="false">
      <c r="A11" s="2" t="n">
        <v>10</v>
      </c>
      <c r="B11" s="2" t="n">
        <v>2266</v>
      </c>
      <c r="C11" s="3" t="s">
        <v>26</v>
      </c>
      <c r="D11" s="2" t="s">
        <v>14</v>
      </c>
      <c r="E11" s="2" t="s">
        <v>15</v>
      </c>
      <c r="F11" s="4" t="s">
        <v>16</v>
      </c>
      <c r="G11" s="5"/>
      <c r="H11" s="4"/>
      <c r="I11" s="4"/>
      <c r="J11" s="4"/>
      <c r="K11" s="4"/>
      <c r="L11" s="6"/>
      <c r="M11" s="7" t="s">
        <v>17</v>
      </c>
    </row>
    <row r="12" customFormat="false" ht="15" hidden="false" customHeight="false" outlineLevel="0" collapsed="false">
      <c r="A12" s="2" t="n">
        <v>11</v>
      </c>
      <c r="B12" s="2" t="n">
        <v>935</v>
      </c>
      <c r="C12" s="3" t="s">
        <v>27</v>
      </c>
      <c r="D12" s="2" t="s">
        <v>14</v>
      </c>
      <c r="E12" s="2" t="s">
        <v>15</v>
      </c>
      <c r="F12" s="4" t="s">
        <v>16</v>
      </c>
      <c r="G12" s="5"/>
      <c r="H12" s="4"/>
      <c r="I12" s="4"/>
      <c r="J12" s="4"/>
      <c r="K12" s="4"/>
      <c r="L12" s="6"/>
      <c r="M12" s="7" t="s">
        <v>17</v>
      </c>
    </row>
    <row r="13" customFormat="false" ht="15" hidden="false" customHeight="false" outlineLevel="0" collapsed="false">
      <c r="A13" s="2" t="n">
        <v>12</v>
      </c>
      <c r="B13" s="2" t="n">
        <v>1039</v>
      </c>
      <c r="C13" s="3" t="s">
        <v>28</v>
      </c>
      <c r="D13" s="2" t="s">
        <v>14</v>
      </c>
      <c r="E13" s="2" t="s">
        <v>15</v>
      </c>
      <c r="F13" s="4" t="s">
        <v>16</v>
      </c>
      <c r="G13" s="5"/>
      <c r="H13" s="4"/>
      <c r="I13" s="4"/>
      <c r="J13" s="4"/>
      <c r="K13" s="4"/>
      <c r="L13" s="6"/>
      <c r="M13" s="7" t="s">
        <v>17</v>
      </c>
    </row>
    <row r="14" customFormat="false" ht="15" hidden="false" customHeight="false" outlineLevel="0" collapsed="false">
      <c r="A14" s="2" t="n">
        <v>13</v>
      </c>
      <c r="B14" s="2" t="n">
        <v>1130</v>
      </c>
      <c r="C14" s="3" t="s">
        <v>29</v>
      </c>
      <c r="D14" s="2" t="s">
        <v>14</v>
      </c>
      <c r="E14" s="2" t="s">
        <v>15</v>
      </c>
      <c r="F14" s="4" t="s">
        <v>16</v>
      </c>
      <c r="G14" s="5"/>
      <c r="H14" s="4"/>
      <c r="I14" s="4"/>
      <c r="J14" s="4"/>
      <c r="K14" s="4"/>
      <c r="L14" s="6"/>
      <c r="M14" s="7" t="s">
        <v>17</v>
      </c>
    </row>
    <row r="15" customFormat="false" ht="15" hidden="false" customHeight="false" outlineLevel="0" collapsed="false">
      <c r="A15" s="2" t="n">
        <v>14</v>
      </c>
      <c r="B15" s="2" t="n">
        <v>1690</v>
      </c>
      <c r="C15" s="3" t="s">
        <v>30</v>
      </c>
      <c r="D15" s="2" t="s">
        <v>14</v>
      </c>
      <c r="E15" s="2" t="s">
        <v>15</v>
      </c>
      <c r="F15" s="4" t="s">
        <v>16</v>
      </c>
      <c r="G15" s="5"/>
      <c r="H15" s="4"/>
      <c r="I15" s="4"/>
      <c r="J15" s="4"/>
      <c r="K15" s="4"/>
      <c r="L15" s="6"/>
      <c r="M15" s="7" t="s">
        <v>17</v>
      </c>
    </row>
    <row r="16" customFormat="false" ht="15" hidden="false" customHeight="false" outlineLevel="0" collapsed="false">
      <c r="A16" s="2" t="n">
        <v>15</v>
      </c>
      <c r="B16" s="2" t="n">
        <v>1553</v>
      </c>
      <c r="C16" s="3" t="s">
        <v>31</v>
      </c>
      <c r="D16" s="2" t="s">
        <v>14</v>
      </c>
      <c r="E16" s="2" t="s">
        <v>32</v>
      </c>
      <c r="F16" s="4" t="s">
        <v>16</v>
      </c>
      <c r="G16" s="5"/>
      <c r="H16" s="4"/>
      <c r="I16" s="4"/>
      <c r="J16" s="4"/>
      <c r="K16" s="4"/>
      <c r="L16" s="6"/>
      <c r="M16" s="7" t="s">
        <v>17</v>
      </c>
    </row>
    <row r="17" customFormat="false" ht="15" hidden="false" customHeight="false" outlineLevel="0" collapsed="false">
      <c r="A17" s="2" t="n">
        <v>16</v>
      </c>
      <c r="B17" s="2" t="n">
        <v>975</v>
      </c>
      <c r="C17" s="3" t="s">
        <v>33</v>
      </c>
      <c r="D17" s="2" t="s">
        <v>14</v>
      </c>
      <c r="E17" s="2" t="s">
        <v>32</v>
      </c>
      <c r="F17" s="4" t="s">
        <v>16</v>
      </c>
      <c r="G17" s="5"/>
      <c r="H17" s="4"/>
      <c r="I17" s="4"/>
      <c r="J17" s="4"/>
      <c r="K17" s="4"/>
      <c r="L17" s="6"/>
      <c r="M17" s="7" t="s">
        <v>17</v>
      </c>
    </row>
    <row r="18" customFormat="false" ht="15" hidden="false" customHeight="false" outlineLevel="0" collapsed="false">
      <c r="A18" s="2" t="n">
        <v>17</v>
      </c>
      <c r="B18" s="2" t="n">
        <v>1411</v>
      </c>
      <c r="C18" s="3" t="s">
        <v>34</v>
      </c>
      <c r="D18" s="2" t="s">
        <v>14</v>
      </c>
      <c r="E18" s="2" t="s">
        <v>32</v>
      </c>
      <c r="F18" s="4" t="s">
        <v>16</v>
      </c>
      <c r="G18" s="5"/>
      <c r="H18" s="4"/>
      <c r="I18" s="4"/>
      <c r="J18" s="4"/>
      <c r="K18" s="4"/>
      <c r="L18" s="6"/>
      <c r="M18" s="7" t="s">
        <v>17</v>
      </c>
    </row>
    <row r="19" customFormat="false" ht="15" hidden="false" customHeight="false" outlineLevel="0" collapsed="false">
      <c r="A19" s="2" t="n">
        <v>18</v>
      </c>
      <c r="B19" s="2" t="n">
        <v>801</v>
      </c>
      <c r="C19" s="3" t="s">
        <v>35</v>
      </c>
      <c r="D19" s="2" t="s">
        <v>14</v>
      </c>
      <c r="E19" s="2" t="s">
        <v>32</v>
      </c>
      <c r="F19" s="4" t="s">
        <v>16</v>
      </c>
      <c r="G19" s="5"/>
      <c r="H19" s="4"/>
      <c r="I19" s="4"/>
      <c r="J19" s="4"/>
      <c r="K19" s="4"/>
      <c r="L19" s="6"/>
      <c r="M19" s="7" t="s">
        <v>17</v>
      </c>
    </row>
    <row r="20" customFormat="false" ht="15" hidden="false" customHeight="false" outlineLevel="0" collapsed="false">
      <c r="A20" s="2" t="n">
        <v>19</v>
      </c>
      <c r="B20" s="2" t="n">
        <v>1547</v>
      </c>
      <c r="C20" s="3" t="s">
        <v>36</v>
      </c>
      <c r="D20" s="2" t="s">
        <v>14</v>
      </c>
      <c r="E20" s="2" t="s">
        <v>32</v>
      </c>
      <c r="F20" s="4" t="s">
        <v>16</v>
      </c>
      <c r="G20" s="5"/>
      <c r="H20" s="4"/>
      <c r="I20" s="4"/>
      <c r="J20" s="4"/>
      <c r="K20" s="4"/>
      <c r="L20" s="6"/>
      <c r="M20" s="7" t="s">
        <v>17</v>
      </c>
    </row>
    <row r="21" customFormat="false" ht="15" hidden="false" customHeight="false" outlineLevel="0" collapsed="false">
      <c r="A21" s="2" t="n">
        <v>20</v>
      </c>
      <c r="B21" s="2" t="n">
        <v>1235</v>
      </c>
      <c r="C21" s="3" t="s">
        <v>37</v>
      </c>
      <c r="D21" s="2" t="s">
        <v>14</v>
      </c>
      <c r="E21" s="2" t="s">
        <v>32</v>
      </c>
      <c r="F21" s="4" t="s">
        <v>16</v>
      </c>
      <c r="G21" s="5"/>
      <c r="H21" s="4"/>
      <c r="I21" s="4"/>
      <c r="J21" s="4"/>
      <c r="K21" s="4"/>
      <c r="L21" s="6"/>
      <c r="M21" s="7" t="s">
        <v>17</v>
      </c>
    </row>
    <row r="22" customFormat="false" ht="15" hidden="false" customHeight="false" outlineLevel="0" collapsed="false">
      <c r="A22" s="2" t="n">
        <v>21</v>
      </c>
      <c r="B22" s="2" t="n">
        <v>947</v>
      </c>
      <c r="C22" s="3" t="s">
        <v>38</v>
      </c>
      <c r="D22" s="2" t="s">
        <v>39</v>
      </c>
      <c r="E22" s="2" t="s">
        <v>15</v>
      </c>
      <c r="F22" s="4" t="s">
        <v>16</v>
      </c>
      <c r="G22" s="5"/>
      <c r="H22" s="4"/>
      <c r="I22" s="4"/>
      <c r="J22" s="4"/>
      <c r="K22" s="4"/>
      <c r="L22" s="6"/>
      <c r="M22" s="7" t="s">
        <v>17</v>
      </c>
    </row>
    <row r="23" customFormat="false" ht="15" hidden="false" customHeight="false" outlineLevel="0" collapsed="false">
      <c r="A23" s="2" t="n">
        <v>22</v>
      </c>
      <c r="B23" s="2" t="n">
        <v>310</v>
      </c>
      <c r="C23" s="3" t="s">
        <v>40</v>
      </c>
      <c r="D23" s="2" t="s">
        <v>39</v>
      </c>
      <c r="E23" s="2" t="s">
        <v>15</v>
      </c>
      <c r="F23" s="4" t="s">
        <v>16</v>
      </c>
      <c r="G23" s="5"/>
      <c r="H23" s="4"/>
      <c r="I23" s="4"/>
      <c r="J23" s="4"/>
      <c r="K23" s="4"/>
      <c r="L23" s="6"/>
      <c r="M23" s="7" t="s">
        <v>17</v>
      </c>
    </row>
    <row r="24" customFormat="false" ht="15" hidden="false" customHeight="false" outlineLevel="0" collapsed="false">
      <c r="A24" s="2" t="n">
        <v>23</v>
      </c>
      <c r="B24" s="2" t="n">
        <v>1129</v>
      </c>
      <c r="C24" s="3" t="s">
        <v>41</v>
      </c>
      <c r="D24" s="2" t="s">
        <v>39</v>
      </c>
      <c r="E24" s="2" t="s">
        <v>15</v>
      </c>
      <c r="F24" s="4" t="s">
        <v>16</v>
      </c>
      <c r="G24" s="5"/>
      <c r="H24" s="4"/>
      <c r="I24" s="4"/>
      <c r="J24" s="4"/>
      <c r="K24" s="4"/>
      <c r="L24" s="6"/>
      <c r="M24" s="7" t="s">
        <v>17</v>
      </c>
    </row>
    <row r="25" customFormat="false" ht="15" hidden="false" customHeight="false" outlineLevel="0" collapsed="false">
      <c r="A25" s="2" t="n">
        <v>24</v>
      </c>
      <c r="B25" s="2" t="n">
        <v>752</v>
      </c>
      <c r="C25" s="3" t="s">
        <v>42</v>
      </c>
      <c r="D25" s="2" t="s">
        <v>39</v>
      </c>
      <c r="E25" s="2" t="s">
        <v>15</v>
      </c>
      <c r="F25" s="4" t="s">
        <v>16</v>
      </c>
      <c r="G25" s="5"/>
      <c r="H25" s="4"/>
      <c r="I25" s="4"/>
      <c r="J25" s="4"/>
      <c r="K25" s="4"/>
      <c r="L25" s="6"/>
      <c r="M25" s="7" t="s">
        <v>17</v>
      </c>
    </row>
    <row r="26" customFormat="false" ht="15" hidden="false" customHeight="false" outlineLevel="0" collapsed="false">
      <c r="A26" s="2" t="n">
        <v>25</v>
      </c>
      <c r="B26" s="2" t="n">
        <v>909</v>
      </c>
      <c r="C26" s="3" t="s">
        <v>43</v>
      </c>
      <c r="D26" s="2" t="s">
        <v>39</v>
      </c>
      <c r="E26" s="2" t="s">
        <v>15</v>
      </c>
      <c r="F26" s="4" t="s">
        <v>16</v>
      </c>
      <c r="G26" s="5"/>
      <c r="H26" s="4"/>
      <c r="I26" s="4"/>
      <c r="J26" s="4"/>
      <c r="K26" s="4"/>
      <c r="L26" s="6"/>
      <c r="M26" s="7" t="s">
        <v>17</v>
      </c>
    </row>
    <row r="27" customFormat="false" ht="15" hidden="false" customHeight="false" outlineLevel="0" collapsed="false">
      <c r="A27" s="2" t="n">
        <v>26</v>
      </c>
      <c r="B27" s="2" t="n">
        <v>1654</v>
      </c>
      <c r="C27" s="3" t="s">
        <v>44</v>
      </c>
      <c r="D27" s="2" t="s">
        <v>39</v>
      </c>
      <c r="E27" s="2" t="s">
        <v>15</v>
      </c>
      <c r="F27" s="4" t="s">
        <v>16</v>
      </c>
      <c r="G27" s="5"/>
      <c r="H27" s="4"/>
      <c r="I27" s="4"/>
      <c r="J27" s="4"/>
      <c r="K27" s="4"/>
      <c r="L27" s="6"/>
      <c r="M27" s="7" t="s">
        <v>17</v>
      </c>
    </row>
    <row r="28" customFormat="false" ht="15" hidden="false" customHeight="false" outlineLevel="0" collapsed="false">
      <c r="A28" s="2" t="n">
        <v>27</v>
      </c>
      <c r="B28" s="2" t="n">
        <v>2359</v>
      </c>
      <c r="C28" s="3" t="s">
        <v>45</v>
      </c>
      <c r="D28" s="2" t="s">
        <v>39</v>
      </c>
      <c r="E28" s="2" t="s">
        <v>15</v>
      </c>
      <c r="F28" s="4" t="s">
        <v>16</v>
      </c>
      <c r="G28" s="5"/>
      <c r="H28" s="4"/>
      <c r="I28" s="4"/>
      <c r="J28" s="4"/>
      <c r="K28" s="4"/>
      <c r="L28" s="6"/>
      <c r="M28" s="7" t="s">
        <v>17</v>
      </c>
    </row>
    <row r="29" customFormat="false" ht="15" hidden="false" customHeight="false" outlineLevel="0" collapsed="false">
      <c r="A29" s="2" t="n">
        <v>28</v>
      </c>
      <c r="B29" s="2" t="n">
        <v>2115</v>
      </c>
      <c r="C29" s="3" t="s">
        <v>46</v>
      </c>
      <c r="D29" s="2" t="s">
        <v>39</v>
      </c>
      <c r="E29" s="2" t="s">
        <v>15</v>
      </c>
      <c r="F29" s="4" t="s">
        <v>16</v>
      </c>
      <c r="G29" s="5"/>
      <c r="H29" s="4"/>
      <c r="I29" s="4"/>
      <c r="J29" s="4"/>
      <c r="K29" s="4"/>
      <c r="L29" s="6"/>
      <c r="M29" s="7" t="s">
        <v>17</v>
      </c>
    </row>
    <row r="30" customFormat="false" ht="15" hidden="false" customHeight="false" outlineLevel="0" collapsed="false">
      <c r="A30" s="2" t="n">
        <v>29</v>
      </c>
      <c r="B30" s="2" t="n">
        <v>2192</v>
      </c>
      <c r="C30" s="3" t="s">
        <v>47</v>
      </c>
      <c r="D30" s="2" t="s">
        <v>39</v>
      </c>
      <c r="E30" s="2" t="s">
        <v>15</v>
      </c>
      <c r="F30" s="4" t="s">
        <v>16</v>
      </c>
      <c r="G30" s="5"/>
      <c r="H30" s="4"/>
      <c r="I30" s="4"/>
      <c r="J30" s="4"/>
      <c r="K30" s="4"/>
      <c r="L30" s="6"/>
      <c r="M30" s="7" t="s">
        <v>17</v>
      </c>
    </row>
    <row r="31" customFormat="false" ht="15" hidden="false" customHeight="false" outlineLevel="0" collapsed="false">
      <c r="A31" s="2" t="n">
        <v>30</v>
      </c>
      <c r="B31" s="2" t="n">
        <v>863</v>
      </c>
      <c r="C31" s="3" t="s">
        <v>48</v>
      </c>
      <c r="D31" s="2" t="s">
        <v>39</v>
      </c>
      <c r="E31" s="2" t="s">
        <v>15</v>
      </c>
      <c r="F31" s="4" t="s">
        <v>16</v>
      </c>
      <c r="G31" s="5"/>
      <c r="H31" s="4"/>
      <c r="I31" s="4"/>
      <c r="J31" s="4"/>
      <c r="K31" s="4"/>
      <c r="L31" s="6"/>
      <c r="M31" s="7" t="s">
        <v>17</v>
      </c>
    </row>
    <row r="32" customFormat="false" ht="15" hidden="false" customHeight="false" outlineLevel="0" collapsed="false">
      <c r="A32" s="2" t="n">
        <v>31</v>
      </c>
      <c r="B32" s="2" t="n">
        <v>2101</v>
      </c>
      <c r="C32" s="3" t="s">
        <v>49</v>
      </c>
      <c r="D32" s="2" t="s">
        <v>39</v>
      </c>
      <c r="E32" s="2" t="s">
        <v>15</v>
      </c>
      <c r="F32" s="4" t="s">
        <v>16</v>
      </c>
      <c r="G32" s="5"/>
      <c r="H32" s="4"/>
      <c r="I32" s="4"/>
      <c r="J32" s="4"/>
      <c r="K32" s="4"/>
      <c r="L32" s="6"/>
      <c r="M32" s="7" t="s">
        <v>17</v>
      </c>
    </row>
    <row r="33" customFormat="false" ht="15" hidden="false" customHeight="false" outlineLevel="0" collapsed="false">
      <c r="A33" s="2" t="n">
        <v>32</v>
      </c>
      <c r="B33" s="2" t="n">
        <v>2467</v>
      </c>
      <c r="C33" s="3" t="s">
        <v>50</v>
      </c>
      <c r="D33" s="2" t="s">
        <v>39</v>
      </c>
      <c r="E33" s="2" t="s">
        <v>15</v>
      </c>
      <c r="F33" s="4" t="s">
        <v>16</v>
      </c>
      <c r="G33" s="5"/>
      <c r="H33" s="4"/>
      <c r="I33" s="4"/>
      <c r="J33" s="4"/>
      <c r="K33" s="4"/>
      <c r="L33" s="6"/>
      <c r="M33" s="7" t="s">
        <v>17</v>
      </c>
    </row>
    <row r="34" customFormat="false" ht="15" hidden="false" customHeight="false" outlineLevel="0" collapsed="false">
      <c r="A34" s="2" t="n">
        <v>33</v>
      </c>
      <c r="B34" s="2" t="n">
        <v>2049</v>
      </c>
      <c r="C34" s="3" t="s">
        <v>51</v>
      </c>
      <c r="D34" s="2" t="s">
        <v>39</v>
      </c>
      <c r="E34" s="2" t="s">
        <v>15</v>
      </c>
      <c r="F34" s="4" t="s">
        <v>16</v>
      </c>
      <c r="G34" s="5"/>
      <c r="H34" s="4"/>
      <c r="I34" s="4"/>
      <c r="J34" s="4"/>
      <c r="K34" s="4"/>
      <c r="L34" s="6"/>
      <c r="M34" s="7" t="s">
        <v>17</v>
      </c>
    </row>
    <row r="35" customFormat="false" ht="15" hidden="false" customHeight="false" outlineLevel="0" collapsed="false">
      <c r="A35" s="2" t="n">
        <v>34</v>
      </c>
      <c r="B35" s="2" t="n">
        <v>1368</v>
      </c>
      <c r="C35" s="3" t="s">
        <v>52</v>
      </c>
      <c r="D35" s="2" t="s">
        <v>39</v>
      </c>
      <c r="E35" s="2" t="s">
        <v>32</v>
      </c>
      <c r="F35" s="4" t="s">
        <v>16</v>
      </c>
      <c r="G35" s="5"/>
      <c r="H35" s="4"/>
      <c r="I35" s="4"/>
      <c r="J35" s="4"/>
      <c r="K35" s="4"/>
      <c r="L35" s="6"/>
      <c r="M35" s="7" t="s">
        <v>17</v>
      </c>
    </row>
    <row r="36" customFormat="false" ht="15" hidden="false" customHeight="false" outlineLevel="0" collapsed="false">
      <c r="A36" s="2" t="n">
        <v>35</v>
      </c>
      <c r="B36" s="2" t="n">
        <v>864</v>
      </c>
      <c r="C36" s="3" t="s">
        <v>53</v>
      </c>
      <c r="D36" s="2" t="s">
        <v>39</v>
      </c>
      <c r="E36" s="2" t="s">
        <v>32</v>
      </c>
      <c r="F36" s="4" t="s">
        <v>16</v>
      </c>
      <c r="G36" s="5"/>
      <c r="H36" s="4"/>
      <c r="I36" s="4"/>
      <c r="J36" s="4"/>
      <c r="K36" s="4"/>
      <c r="L36" s="6"/>
      <c r="M36" s="7" t="s">
        <v>17</v>
      </c>
    </row>
    <row r="37" customFormat="false" ht="15" hidden="false" customHeight="false" outlineLevel="0" collapsed="false">
      <c r="A37" s="2" t="n">
        <v>36</v>
      </c>
      <c r="B37" s="2" t="n">
        <v>2092</v>
      </c>
      <c r="C37" s="3" t="s">
        <v>54</v>
      </c>
      <c r="D37" s="2" t="s">
        <v>39</v>
      </c>
      <c r="E37" s="2" t="s">
        <v>32</v>
      </c>
      <c r="F37" s="4" t="s">
        <v>16</v>
      </c>
      <c r="G37" s="5"/>
      <c r="H37" s="4"/>
      <c r="I37" s="4"/>
      <c r="J37" s="4"/>
      <c r="K37" s="4"/>
      <c r="L37" s="6"/>
      <c r="M37" s="7" t="s">
        <v>17</v>
      </c>
    </row>
    <row r="38" customFormat="false" ht="15" hidden="false" customHeight="false" outlineLevel="0" collapsed="false">
      <c r="A38" s="2" t="n">
        <v>37</v>
      </c>
      <c r="B38" s="2" t="n">
        <v>1192</v>
      </c>
      <c r="C38" s="3" t="s">
        <v>55</v>
      </c>
      <c r="D38" s="2" t="s">
        <v>39</v>
      </c>
      <c r="E38" s="2" t="s">
        <v>32</v>
      </c>
      <c r="F38" s="4" t="s">
        <v>16</v>
      </c>
      <c r="G38" s="5"/>
      <c r="H38" s="4"/>
      <c r="I38" s="4"/>
      <c r="J38" s="4"/>
      <c r="K38" s="4"/>
      <c r="L38" s="6"/>
      <c r="M38" s="7" t="s">
        <v>17</v>
      </c>
    </row>
    <row r="39" customFormat="false" ht="15" hidden="false" customHeight="false" outlineLevel="0" collapsed="false">
      <c r="A39" s="2" t="n">
        <v>38</v>
      </c>
      <c r="B39" s="2" t="n">
        <v>2360</v>
      </c>
      <c r="C39" s="3" t="s">
        <v>56</v>
      </c>
      <c r="D39" s="2" t="s">
        <v>39</v>
      </c>
      <c r="E39" s="2" t="s">
        <v>32</v>
      </c>
      <c r="F39" s="4" t="s">
        <v>16</v>
      </c>
      <c r="G39" s="5"/>
      <c r="H39" s="4"/>
      <c r="I39" s="4"/>
      <c r="J39" s="4"/>
      <c r="K39" s="4"/>
      <c r="L39" s="6"/>
      <c r="M39" s="7" t="s">
        <v>17</v>
      </c>
    </row>
    <row r="40" customFormat="false" ht="15" hidden="false" customHeight="false" outlineLevel="0" collapsed="false">
      <c r="A40" s="2" t="n">
        <v>39</v>
      </c>
      <c r="B40" s="2" t="n">
        <v>1857</v>
      </c>
      <c r="C40" s="3" t="s">
        <v>57</v>
      </c>
      <c r="D40" s="2" t="s">
        <v>39</v>
      </c>
      <c r="E40" s="2" t="s">
        <v>32</v>
      </c>
      <c r="F40" s="4" t="s">
        <v>16</v>
      </c>
      <c r="G40" s="5"/>
      <c r="H40" s="4"/>
      <c r="I40" s="4"/>
      <c r="J40" s="4"/>
      <c r="K40" s="4"/>
      <c r="L40" s="6"/>
      <c r="M40" s="7" t="s">
        <v>17</v>
      </c>
    </row>
    <row r="41" customFormat="false" ht="15" hidden="false" customHeight="false" outlineLevel="0" collapsed="false">
      <c r="A41" s="2" t="n">
        <v>40</v>
      </c>
      <c r="B41" s="2" t="n">
        <v>2050</v>
      </c>
      <c r="C41" s="3" t="s">
        <v>58</v>
      </c>
      <c r="D41" s="2" t="s">
        <v>39</v>
      </c>
      <c r="E41" s="2" t="s">
        <v>32</v>
      </c>
      <c r="F41" s="4" t="s">
        <v>16</v>
      </c>
      <c r="G41" s="5"/>
      <c r="H41" s="4"/>
      <c r="I41" s="4"/>
      <c r="J41" s="4"/>
      <c r="K41" s="4"/>
      <c r="L41" s="6"/>
      <c r="M41" s="7" t="s">
        <v>17</v>
      </c>
    </row>
  </sheetData>
  <autoFilter ref="A1:M41"/>
  <conditionalFormatting sqref="F2:F41">
    <cfRule type="cellIs" priority="2" operator="equal" aboveAverage="0" equalAverage="0" bottom="0" percent="0" rank="0" text="" dxfId="6">
      <formula>"Solved"</formula>
    </cfRule>
    <cfRule type="cellIs" priority="3" operator="equal" aboveAverage="0" equalAverage="0" bottom="0" percent="0" rank="0" text="" dxfId="7">
      <formula>"In Progress"</formula>
    </cfRule>
    <cfRule type="cellIs" priority="4" operator="equal" aboveAverage="0" equalAverage="0" bottom="0" percent="0" rank="0" text="" dxfId="8">
      <formula>"Revisit"</formula>
    </cfRule>
  </conditionalFormatting>
  <conditionalFormatting sqref="E2:E41">
    <cfRule type="cellIs" priority="5" operator="equal" aboveAverage="0" equalAverage="0" bottom="0" percent="0" rank="0" text="" dxfId="9">
      <formula>"Hard"</formula>
    </cfRule>
  </conditionalFormatting>
  <dataValidations count="2">
    <dataValidation allowBlank="false" errorStyle="stop" operator="between" showDropDown="false" showErrorMessage="false" showInputMessage="false" sqref="F2:F41" type="list">
      <formula1>"Not Started,In Progress,Solved,Revisit"</formula1>
      <formula2>0</formula2>
    </dataValidation>
    <dataValidation allowBlank="true" errorStyle="stop" operator="between" showDropDown="false" showErrorMessage="false" showInputMessage="false" sqref="J2:K41" type="list">
      <formula1>"Yes,No"</formula1>
      <formula2>0</formula2>
    </dataValidation>
  </dataValidations>
  <hyperlinks>
    <hyperlink ref="M2" r:id="rId1" display="Open"/>
    <hyperlink ref="M3" r:id="rId2" display="Open"/>
    <hyperlink ref="M4" r:id="rId3" display="Open"/>
    <hyperlink ref="M5" r:id="rId4" display="Open"/>
    <hyperlink ref="M6" r:id="rId5" display="Open"/>
    <hyperlink ref="M7" r:id="rId6" display="Open"/>
    <hyperlink ref="M8" r:id="rId7" display="Open"/>
    <hyperlink ref="M9" r:id="rId8" display="Open"/>
    <hyperlink ref="M10" r:id="rId9" display="Open"/>
    <hyperlink ref="M11" r:id="rId10" display="Open"/>
    <hyperlink ref="M12" r:id="rId11" display="Open"/>
    <hyperlink ref="M13" r:id="rId12" display="Open"/>
    <hyperlink ref="M14" r:id="rId13" display="Open"/>
    <hyperlink ref="M15" r:id="rId14" display="Open"/>
    <hyperlink ref="M16" r:id="rId15" display="Open"/>
    <hyperlink ref="M17" r:id="rId16" display="Open"/>
    <hyperlink ref="M18" r:id="rId17" display="Open"/>
    <hyperlink ref="M19" r:id="rId18" display="Open"/>
    <hyperlink ref="M20" r:id="rId19" display="Open"/>
    <hyperlink ref="M21" r:id="rId20" display="Open"/>
    <hyperlink ref="M22" r:id="rId21" display="Open"/>
    <hyperlink ref="M23" r:id="rId22" display="Open"/>
    <hyperlink ref="M24" r:id="rId23" display="Open"/>
    <hyperlink ref="M25" r:id="rId24" display="Open"/>
    <hyperlink ref="M26" r:id="rId25" display="Open"/>
    <hyperlink ref="M27" r:id="rId26" display="Open"/>
    <hyperlink ref="M28" r:id="rId27" display="Open"/>
    <hyperlink ref="M29" r:id="rId28" display="Open"/>
    <hyperlink ref="M30" r:id="rId29" display="Open"/>
    <hyperlink ref="M31" r:id="rId30" display="Open"/>
    <hyperlink ref="M32" r:id="rId31" display="Open"/>
    <hyperlink ref="M33" r:id="rId32" display="Open"/>
    <hyperlink ref="M34" r:id="rId33" display="Open"/>
    <hyperlink ref="M35" r:id="rId34" display="Open"/>
    <hyperlink ref="M36" r:id="rId35" display="Open"/>
    <hyperlink ref="M37" r:id="rId36" display="Open"/>
    <hyperlink ref="M38" r:id="rId37" display="Open"/>
    <hyperlink ref="M39" r:id="rId38" display="Open"/>
    <hyperlink ref="M40" r:id="rId39" display="Open"/>
    <hyperlink ref="M41" r:id="rId40" display="Ope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4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15"/>
  </cols>
  <sheetData>
    <row r="1" customFormat="false" ht="17.35" hidden="false" customHeight="false" outlineLevel="0" collapsed="false">
      <c r="A1" s="8" t="s">
        <v>59</v>
      </c>
    </row>
    <row r="3" customFormat="false" ht="26.85" hidden="false" customHeight="false" outlineLevel="0" collapsed="false">
      <c r="A3" s="9" t="s">
        <v>60</v>
      </c>
      <c r="B3" s="9" t="s">
        <v>61</v>
      </c>
      <c r="C3" s="9" t="s">
        <v>62</v>
      </c>
      <c r="D3" s="9" t="s">
        <v>63</v>
      </c>
      <c r="E3" s="9" t="s">
        <v>64</v>
      </c>
      <c r="F3" s="9" t="s">
        <v>65</v>
      </c>
      <c r="G3" s="9" t="s">
        <v>66</v>
      </c>
    </row>
    <row r="4" customFormat="false" ht="15" hidden="false" customHeight="false" outlineLevel="0" collapsed="false">
      <c r="A4" s="10" t="s">
        <v>14</v>
      </c>
      <c r="B4" s="11" t="n">
        <f aca="false">COUNTIF(Tracker!$D$2:$D$41,$A4)</f>
        <v>20</v>
      </c>
      <c r="C4" s="11" t="n">
        <f aca="false">COUNTIFS(Tracker!$D$2:$D$41,$A4,Tracker!$F$2:$F$41,"Solved")</f>
        <v>0</v>
      </c>
      <c r="D4" s="11" t="n">
        <f aca="false">COUNTIFS(Tracker!$D$2:$D$41,$A4,Tracker!$F$2:$F$41,"In Progress")</f>
        <v>0</v>
      </c>
      <c r="E4" s="11" t="n">
        <f aca="false">COUNTIFS(Tracker!$D$2:$D$41,$A4,Tracker!$F$2:$F$41,"Revisit")</f>
        <v>0</v>
      </c>
      <c r="F4" s="12" t="n">
        <f aca="false">IFERROR(C4/B4,0)</f>
        <v>0</v>
      </c>
      <c r="G4" s="13" t="n">
        <f aca="false">IFERROR(AVERAGEIFS(Tracker!$H$2:$H$41,Tracker!$D$2:$D$41,$A4,Tracker!$F$2:$F$41,"Solved"),0)</f>
        <v>0</v>
      </c>
    </row>
    <row r="5" customFormat="false" ht="15" hidden="false" customHeight="false" outlineLevel="0" collapsed="false">
      <c r="A5" s="10" t="s">
        <v>39</v>
      </c>
      <c r="B5" s="11" t="n">
        <f aca="false">COUNTIF(Tracker!$D$2:$D$41,$A5)</f>
        <v>20</v>
      </c>
      <c r="C5" s="11" t="n">
        <f aca="false">COUNTIFS(Tracker!$D$2:$D$41,$A5,Tracker!$F$2:$F$41,"Solved")</f>
        <v>0</v>
      </c>
      <c r="D5" s="11" t="n">
        <f aca="false">COUNTIFS(Tracker!$D$2:$D$41,$A5,Tracker!$F$2:$F$41,"In Progress")</f>
        <v>0</v>
      </c>
      <c r="E5" s="11" t="n">
        <f aca="false">COUNTIFS(Tracker!$D$2:$D$41,$A5,Tracker!$F$2:$F$41,"Revisit")</f>
        <v>0</v>
      </c>
      <c r="F5" s="12" t="n">
        <f aca="false">IFERROR(C5/B5,0)</f>
        <v>0</v>
      </c>
      <c r="G5" s="13" t="n">
        <f aca="false">IFERROR(AVERAGEIFS(Tracker!$H$2:$H$41,Tracker!$D$2:$D$41,$A5,Tracker!$F$2:$F$41,"Solved"),0)</f>
        <v>0</v>
      </c>
    </row>
    <row r="6" customFormat="false" ht="15" hidden="false" customHeight="false" outlineLevel="0" collapsed="false">
      <c r="A6" s="10" t="s">
        <v>15</v>
      </c>
      <c r="B6" s="11" t="n">
        <f aca="false">COUNTIF(Tracker!$E$2:$E$41,$A6)</f>
        <v>27</v>
      </c>
      <c r="C6" s="11" t="n">
        <f aca="false">COUNTIFS(Tracker!$E$2:$E$41,$A6,Tracker!$F$2:$F$41,"Solved")</f>
        <v>0</v>
      </c>
      <c r="D6" s="11" t="n">
        <f aca="false">COUNTIFS(Tracker!$E$2:$E$41,$A6,Tracker!$F$2:$F$41,"In Progress")</f>
        <v>0</v>
      </c>
      <c r="E6" s="11" t="n">
        <f aca="false">COUNTIFS(Tracker!$E$2:$E$41,$A6,Tracker!$F$2:$F$41,"Revisit")</f>
        <v>0</v>
      </c>
      <c r="F6" s="12" t="n">
        <f aca="false">IFERROR(C6/B6,0)</f>
        <v>0</v>
      </c>
      <c r="G6" s="13" t="n">
        <f aca="false">IFERROR(AVERAGEIFS(Tracker!$H$2:$H$41,Tracker!$E$2:$E$41,$A6,Tracker!$F$2:$F$41,"Solved"),0)</f>
        <v>0</v>
      </c>
    </row>
    <row r="7" customFormat="false" ht="15" hidden="false" customHeight="false" outlineLevel="0" collapsed="false">
      <c r="A7" s="10" t="s">
        <v>32</v>
      </c>
      <c r="B7" s="11" t="n">
        <f aca="false">COUNTIF(Tracker!$E$2:$E$41,$A7)</f>
        <v>13</v>
      </c>
      <c r="C7" s="11" t="n">
        <f aca="false">COUNTIFS(Tracker!$E$2:$E$41,$A7,Tracker!$F$2:$F$41,"Solved")</f>
        <v>0</v>
      </c>
      <c r="D7" s="11" t="n">
        <f aca="false">COUNTIFS(Tracker!$E$2:$E$41,$A7,Tracker!$F$2:$F$41,"In Progress")</f>
        <v>0</v>
      </c>
      <c r="E7" s="11" t="n">
        <f aca="false">COUNTIFS(Tracker!$E$2:$E$41,$A7,Tracker!$F$2:$F$41,"Revisit")</f>
        <v>0</v>
      </c>
      <c r="F7" s="12" t="n">
        <f aca="false">IFERROR(C7/B7,0)</f>
        <v>0</v>
      </c>
      <c r="G7" s="13" t="n">
        <f aca="false">IFERROR(AVERAGEIFS(Tracker!$H$2:$H$41,Tracker!$E$2:$E$41,$A7,Tracker!$F$2:$F$41,"Solved"),0)</f>
        <v>0</v>
      </c>
    </row>
    <row r="8" customFormat="false" ht="15" hidden="false" customHeight="false" outlineLevel="0" collapsed="false">
      <c r="A8" s="14" t="s">
        <v>67</v>
      </c>
      <c r="B8" s="15" t="n">
        <f aca="false">COUNTA(Tracker!$C$2:$C$41)</f>
        <v>40</v>
      </c>
      <c r="C8" s="15" t="n">
        <f aca="false">COUNTIF(Tracker!$F$2:$F$41,"Solved")</f>
        <v>0</v>
      </c>
      <c r="D8" s="15" t="n">
        <f aca="false">COUNTIF(Tracker!$F$2:$F$41,"In Progress")</f>
        <v>0</v>
      </c>
      <c r="E8" s="15" t="n">
        <f aca="false">COUNTIF(Tracker!$F$2:$F$41,"Revisit")</f>
        <v>0</v>
      </c>
      <c r="F8" s="16" t="n">
        <f aca="false">IFERROR(C8/B8,0)</f>
        <v>0</v>
      </c>
      <c r="G8" s="17" t="n">
        <f aca="false">IFERROR(AVERAGEIFS(Tracker!$H$2:$H$41,Tracker!$F$2:$F$41,"Solved"),0)</f>
        <v>0</v>
      </c>
    </row>
    <row r="10" customFormat="false" ht="15" hidden="false" customHeight="false" outlineLevel="0" collapsed="false">
      <c r="A10" s="18" t="s">
        <v>68</v>
      </c>
    </row>
    <row r="11" customFormat="false" ht="15" hidden="false" customHeight="false" outlineLevel="0" collapsed="false">
      <c r="A11" s="19" t="s">
        <v>69</v>
      </c>
    </row>
    <row r="12" customFormat="false" ht="15" hidden="false" customHeight="false" outlineLevel="0" collapsed="false">
      <c r="A12" s="19" t="s">
        <v>70</v>
      </c>
    </row>
    <row r="13" customFormat="false" ht="15" hidden="false" customHeight="false" outlineLevel="0" collapsed="false">
      <c r="A13" s="19" t="s">
        <v>71</v>
      </c>
    </row>
    <row r="14" customFormat="false" ht="15" hidden="false" customHeight="false" outlineLevel="0" collapsed="false">
      <c r="A14" s="19" t="s">
        <v>72</v>
      </c>
    </row>
    <row r="15" customFormat="false" ht="15" hidden="false" customHeight="false" outlineLevel="0" collapsed="false">
      <c r="A15" s="19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2026-10-21T17:24:01Z</dcterms:created>
  <dc:creator>openpyxl</dc:creator>
  <dc:description/>
  <dc:language>en-US</dc:language>
  <cp:lastModifiedBy/>
  <dcterms:modified xsi:type="dcterms:W3CDTF">2026-10-21T17:24:01Z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